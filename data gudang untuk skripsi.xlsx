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Lemba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<sst xmlns="http://schemas.openxmlformats.org/spreadsheetml/2006/main" count="249" uniqueCount="124">
  <si>
    <t>NO.</t>
  </si>
  <si>
    <t>Kode_Produk</t>
  </si>
  <si>
    <t>Jenis_Barang</t>
  </si>
  <si>
    <t>Merk_Produk</t>
  </si>
  <si>
    <t>Ukuran_Produk</t>
  </si>
  <si>
    <t>Warna_Produk</t>
  </si>
  <si>
    <t>Kondisi_barang</t>
  </si>
  <si>
    <t>Qty</t>
  </si>
  <si>
    <t>Offline</t>
  </si>
  <si>
    <t>Online</t>
  </si>
  <si>
    <t>Terjual</t>
  </si>
  <si>
    <t>Sisa_stok</t>
  </si>
  <si>
    <t>Harga_gudang</t>
  </si>
  <si>
    <t>Harga_jual</t>
  </si>
  <si>
    <t>Margin_kotor</t>
  </si>
  <si>
    <t>Margin_persen</t>
  </si>
  <si>
    <t>RUN-U-001</t>
  </si>
  <si>
    <t>Sepatu Running [unisex]</t>
  </si>
  <si>
    <t>nike</t>
  </si>
  <si>
    <t>hitam</t>
  </si>
  <si>
    <t>baru</t>
  </si>
  <si>
    <t>RUN-U-002</t>
  </si>
  <si>
    <t>aerostreet</t>
  </si>
  <si>
    <t>RUN-U-003</t>
  </si>
  <si>
    <t>adidas</t>
  </si>
  <si>
    <t>RUN-U-004</t>
  </si>
  <si>
    <t>hoka</t>
  </si>
  <si>
    <t>RUN-U-005</t>
  </si>
  <si>
    <t>new balance</t>
  </si>
  <si>
    <t>putih</t>
  </si>
  <si>
    <t>RUN-U-006</t>
  </si>
  <si>
    <t>mizuno</t>
  </si>
  <si>
    <t>RUN-M-001</t>
  </si>
  <si>
    <t>Sepatu Running [male]</t>
  </si>
  <si>
    <t>sporty kanvas</t>
  </si>
  <si>
    <t>RUN-M-002</t>
  </si>
  <si>
    <t>biru</t>
  </si>
  <si>
    <t>RUN-M-003</t>
  </si>
  <si>
    <t>reebok</t>
  </si>
  <si>
    <t>RUN-M-004</t>
  </si>
  <si>
    <t>RUN-F-001</t>
  </si>
  <si>
    <t>Sepatu Running [female]</t>
  </si>
  <si>
    <t>RUN-F-002</t>
  </si>
  <si>
    <t>CAS-U-001</t>
  </si>
  <si>
    <t>Sepatu Casual [unisex]</t>
  </si>
  <si>
    <t>fashion</t>
  </si>
  <si>
    <t>CAS-U-002</t>
  </si>
  <si>
    <t>CAS-U-003</t>
  </si>
  <si>
    <t>CAS-U-004</t>
  </si>
  <si>
    <t>CAS-U-005</t>
  </si>
  <si>
    <t>CAS-U-006</t>
  </si>
  <si>
    <t>CAS-U-007</t>
  </si>
  <si>
    <t>hiam</t>
  </si>
  <si>
    <t>CAS-M-001</t>
  </si>
  <si>
    <t>Sepatu Casual [male]</t>
  </si>
  <si>
    <t>CAS-M-002</t>
  </si>
  <si>
    <t>CAS-M-003</t>
  </si>
  <si>
    <t>CAS-F-001</t>
  </si>
  <si>
    <t>Sepatu Casual [female]</t>
  </si>
  <si>
    <t>CAS-F-002</t>
  </si>
  <si>
    <t>CAS-F-003</t>
  </si>
  <si>
    <t>CAS-F-004</t>
  </si>
  <si>
    <t>CAS-F-005</t>
  </si>
  <si>
    <t>aidas</t>
  </si>
  <si>
    <t>CAS-F-006</t>
  </si>
  <si>
    <t>FOR-U-001</t>
  </si>
  <si>
    <t>Sepatu Formal [unisex]</t>
  </si>
  <si>
    <t>aveka</t>
  </si>
  <si>
    <t>FOR-U-002</t>
  </si>
  <si>
    <t>coklat</t>
  </si>
  <si>
    <t>FOR-U-003</t>
  </si>
  <si>
    <t>mjc indonesia</t>
  </si>
  <si>
    <t>FOR-M-001</t>
  </si>
  <si>
    <t>Sepatu Formal [male]</t>
  </si>
  <si>
    <t>finetic</t>
  </si>
  <si>
    <t>FOR-M-002</t>
  </si>
  <si>
    <t>brick mansions</t>
  </si>
  <si>
    <t>FOR-F-001</t>
  </si>
  <si>
    <t>Sepatu Formal [female]</t>
  </si>
  <si>
    <t>livia hazel</t>
  </si>
  <si>
    <t>FOR-F-002</t>
  </si>
  <si>
    <t>alvis</t>
  </si>
  <si>
    <t>FOR-F-003</t>
  </si>
  <si>
    <t>holic</t>
  </si>
  <si>
    <t>FOR-F-004</t>
  </si>
  <si>
    <t>nevada</t>
  </si>
  <si>
    <t>FOR-F-005</t>
  </si>
  <si>
    <t>kickers</t>
  </si>
  <si>
    <t>abu-abu</t>
  </si>
  <si>
    <t>FUT-001</t>
  </si>
  <si>
    <t>Sepatu Futsal</t>
  </si>
  <si>
    <t>lotto</t>
  </si>
  <si>
    <t>FUT-002</t>
  </si>
  <si>
    <t>ortuseight</t>
  </si>
  <si>
    <t>FUT-003</t>
  </si>
  <si>
    <t>hijau</t>
  </si>
  <si>
    <t>BOL-001</t>
  </si>
  <si>
    <t>Sepatu Bola</t>
  </si>
  <si>
    <t>specs</t>
  </si>
  <si>
    <t>jitam</t>
  </si>
  <si>
    <t>BOL-002</t>
  </si>
  <si>
    <t>hanz</t>
  </si>
  <si>
    <t>BOL-003</t>
  </si>
  <si>
    <t>merah</t>
  </si>
  <si>
    <t>BOL-004</t>
  </si>
  <si>
    <t>BOL-005</t>
  </si>
  <si>
    <t>fromzero</t>
  </si>
  <si>
    <t>BOL-006</t>
  </si>
  <si>
    <t>BOL-007</t>
  </si>
  <si>
    <t>gastruz</t>
  </si>
  <si>
    <t>SDL-M-001</t>
  </si>
  <si>
    <t>Sandal Laki-Laki</t>
  </si>
  <si>
    <t>fladeo</t>
  </si>
  <si>
    <t>SDL-M-002</t>
  </si>
  <si>
    <t>carvil</t>
  </si>
  <si>
    <t>SDL-M-003</t>
  </si>
  <si>
    <t>dickdims</t>
  </si>
  <si>
    <t>SDL-M-004</t>
  </si>
  <si>
    <t>distro</t>
  </si>
  <si>
    <t>SDL-F-001</t>
  </si>
  <si>
    <t>Sandal Perempuan</t>
  </si>
  <si>
    <t>zeintin</t>
  </si>
  <si>
    <t>SDL-F-002</t>
  </si>
  <si>
    <t>SDL-F-003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</si>
</sst>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2" fillId="0" borderId="3" xfId="0" applyFont="1" applyFill="1" applyBorder="1" applyAlignment="1"/>
    <xf numFmtId="0" fontId="2" fillId="0" borderId="4" xfId="0" applyFont="1" applyFill="1" applyBorder="1" applyAlignment="1"/>
    <xf numFmtId="0" fontId="1" fillId="2" borderId="1" xfId="0" applyFont="1" applyFill="1" applyBorder="1" applyAlignment="1">
      <alignment horizontal="center"/>
    </xf>
    <xf numFmtId="3" fontId="1" fillId="0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2" borderId="1" xfId="0" applyNumberFormat="1" applyFont="1" applyFill="1" applyBorder="1" applyAlignment="1">
      <alignment horizontal="center" vertical="center"/>
    </xf>
    <xf numFmtId="9" fontId="0" fillId="2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57"/>
  <sheetViews>
    <sheetView tabSelected="1" workbookViewId="0">
      <selection activeCell="B2" sqref="B2:Q57"/>
    </sheetView>
  </sheetViews>
  <sheetFormatPr defaultColWidth="9.14285714285714" defaultRowHeight="15"/>
  <cols>
    <col min="2" max="2" width="5" customWidth="1"/>
    <col min="3" max="3" width="13.8571428571429" customWidth="1"/>
    <col min="4" max="4" width="25.2857142857143" customWidth="1"/>
    <col min="5" max="5" width="15.2857142857143" customWidth="1"/>
    <col min="6" max="6" width="16" customWidth="1"/>
    <col min="7" max="7" width="15.2857142857143" customWidth="1"/>
    <col min="8" max="8" width="15.7142857142857" customWidth="1"/>
    <col min="14" max="14" width="14.4285714285714" customWidth="1"/>
    <col min="15" max="15" width="11" customWidth="1"/>
    <col min="16" max="16" width="14" customWidth="1"/>
    <col min="17" max="17" width="15.5714285714286" customWidth="1"/>
  </cols>
  <sheetData>
    <row r="2" spans="2:1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8" t="s">
        <v>10</v>
      </c>
      <c r="M2" s="8" t="s">
        <v>11</v>
      </c>
      <c r="N2" s="9" t="s">
        <v>12</v>
      </c>
      <c r="O2" s="9" t="s">
        <v>13</v>
      </c>
      <c r="P2" s="10" t="s">
        <v>14</v>
      </c>
      <c r="Q2" s="8" t="s">
        <v>15</v>
      </c>
    </row>
    <row r="3" spans="2:17">
      <c r="B3" s="3">
        <v>1</v>
      </c>
      <c r="C3" s="3" t="s">
        <v>16</v>
      </c>
      <c r="D3" s="4" t="s">
        <v>17</v>
      </c>
      <c r="E3" s="3" t="s">
        <v>18</v>
      </c>
      <c r="F3" s="3">
        <v>39</v>
      </c>
      <c r="G3" s="3" t="s">
        <v>19</v>
      </c>
      <c r="H3" s="5" t="s">
        <v>20</v>
      </c>
      <c r="I3" s="5">
        <v>5</v>
      </c>
      <c r="J3" s="5">
        <v>2</v>
      </c>
      <c r="K3" s="5">
        <v>2</v>
      </c>
      <c r="L3" s="11">
        <f t="shared" ref="L3:L57" si="0">J3+K3</f>
        <v>4</v>
      </c>
      <c r="M3" s="11">
        <f t="shared" ref="M3:M57" si="1">I3-L3</f>
        <v>1</v>
      </c>
      <c r="N3" s="12">
        <v>25000</v>
      </c>
      <c r="O3" s="12">
        <v>40000</v>
      </c>
      <c r="P3" s="13">
        <f t="shared" ref="P3:P57" si="2">O3-N3</f>
        <v>15000</v>
      </c>
      <c r="Q3" s="14">
        <f t="shared" ref="Q3:Q57" si="3">P3/N3*100%</f>
        <v>0.6</v>
      </c>
    </row>
    <row r="4" spans="2:17">
      <c r="B4" s="3">
        <v>2</v>
      </c>
      <c r="C4" s="3" t="s">
        <v>21</v>
      </c>
      <c r="D4" s="6"/>
      <c r="E4" s="3" t="s">
        <v>22</v>
      </c>
      <c r="F4" s="3">
        <v>41</v>
      </c>
      <c r="G4" s="3" t="s">
        <v>19</v>
      </c>
      <c r="H4" s="5" t="s">
        <v>20</v>
      </c>
      <c r="I4" s="5">
        <v>4</v>
      </c>
      <c r="J4" s="5">
        <v>3</v>
      </c>
      <c r="K4" s="5">
        <v>1</v>
      </c>
      <c r="L4" s="11">
        <f t="shared" si="0"/>
        <v>4</v>
      </c>
      <c r="M4" s="11">
        <f t="shared" si="1"/>
        <v>0</v>
      </c>
      <c r="N4" s="12">
        <v>25000</v>
      </c>
      <c r="O4" s="12">
        <v>40000</v>
      </c>
      <c r="P4" s="13">
        <f t="shared" si="2"/>
        <v>15000</v>
      </c>
      <c r="Q4" s="14">
        <f t="shared" si="3"/>
        <v>0.6</v>
      </c>
    </row>
    <row r="5" spans="2:17">
      <c r="B5" s="3">
        <v>3</v>
      </c>
      <c r="C5" s="3" t="s">
        <v>23</v>
      </c>
      <c r="D5" s="6"/>
      <c r="E5" s="3" t="s">
        <v>24</v>
      </c>
      <c r="F5" s="3">
        <v>42</v>
      </c>
      <c r="G5" s="3" t="s">
        <v>19</v>
      </c>
      <c r="H5" s="5" t="s">
        <v>20</v>
      </c>
      <c r="I5" s="5">
        <v>6</v>
      </c>
      <c r="J5" s="5">
        <v>2</v>
      </c>
      <c r="K5" s="5">
        <v>1</v>
      </c>
      <c r="L5" s="11">
        <f t="shared" si="0"/>
        <v>3</v>
      </c>
      <c r="M5" s="11">
        <f t="shared" si="1"/>
        <v>3</v>
      </c>
      <c r="N5" s="12">
        <v>25000</v>
      </c>
      <c r="O5" s="12">
        <v>40000</v>
      </c>
      <c r="P5" s="13">
        <f t="shared" si="2"/>
        <v>15000</v>
      </c>
      <c r="Q5" s="14">
        <f t="shared" si="3"/>
        <v>0.6</v>
      </c>
    </row>
    <row r="6" spans="2:17">
      <c r="B6" s="3">
        <v>4</v>
      </c>
      <c r="C6" s="3" t="s">
        <v>25</v>
      </c>
      <c r="D6" s="6"/>
      <c r="E6" s="3" t="s">
        <v>26</v>
      </c>
      <c r="F6" s="3">
        <v>42</v>
      </c>
      <c r="G6" s="3" t="s">
        <v>19</v>
      </c>
      <c r="H6" s="5" t="s">
        <v>20</v>
      </c>
      <c r="I6" s="5">
        <v>3</v>
      </c>
      <c r="J6" s="5">
        <v>2</v>
      </c>
      <c r="K6" s="5">
        <v>1</v>
      </c>
      <c r="L6" s="11">
        <f t="shared" si="0"/>
        <v>3</v>
      </c>
      <c r="M6" s="11">
        <f t="shared" si="1"/>
        <v>0</v>
      </c>
      <c r="N6" s="12">
        <v>25000</v>
      </c>
      <c r="O6" s="12">
        <v>40000</v>
      </c>
      <c r="P6" s="13">
        <f t="shared" si="2"/>
        <v>15000</v>
      </c>
      <c r="Q6" s="14">
        <f t="shared" si="3"/>
        <v>0.6</v>
      </c>
    </row>
    <row r="7" spans="2:17">
      <c r="B7" s="3">
        <v>5</v>
      </c>
      <c r="C7" s="3" t="s">
        <v>27</v>
      </c>
      <c r="D7" s="6"/>
      <c r="E7" s="3" t="s">
        <v>28</v>
      </c>
      <c r="F7" s="3">
        <v>41</v>
      </c>
      <c r="G7" s="3" t="s">
        <v>29</v>
      </c>
      <c r="H7" s="5" t="s">
        <v>20</v>
      </c>
      <c r="I7" s="5">
        <v>5</v>
      </c>
      <c r="J7" s="5">
        <v>1</v>
      </c>
      <c r="K7" s="5">
        <v>2</v>
      </c>
      <c r="L7" s="11">
        <f t="shared" si="0"/>
        <v>3</v>
      </c>
      <c r="M7" s="11">
        <f t="shared" si="1"/>
        <v>2</v>
      </c>
      <c r="N7" s="12">
        <v>25000</v>
      </c>
      <c r="O7" s="12">
        <v>40000</v>
      </c>
      <c r="P7" s="13">
        <f t="shared" si="2"/>
        <v>15000</v>
      </c>
      <c r="Q7" s="14">
        <f t="shared" si="3"/>
        <v>0.6</v>
      </c>
    </row>
    <row r="8" spans="2:17">
      <c r="B8" s="3">
        <v>6</v>
      </c>
      <c r="C8" s="3" t="s">
        <v>30</v>
      </c>
      <c r="D8" s="7"/>
      <c r="E8" s="3" t="s">
        <v>31</v>
      </c>
      <c r="F8" s="3">
        <v>43</v>
      </c>
      <c r="G8" s="3" t="s">
        <v>29</v>
      </c>
      <c r="H8" s="5" t="s">
        <v>20</v>
      </c>
      <c r="I8" s="5">
        <v>4</v>
      </c>
      <c r="J8" s="5">
        <v>1</v>
      </c>
      <c r="K8" s="5">
        <v>3</v>
      </c>
      <c r="L8" s="11">
        <f t="shared" si="0"/>
        <v>4</v>
      </c>
      <c r="M8" s="11">
        <f t="shared" si="1"/>
        <v>0</v>
      </c>
      <c r="N8" s="12">
        <v>25000</v>
      </c>
      <c r="O8" s="12">
        <v>40000</v>
      </c>
      <c r="P8" s="13">
        <f t="shared" si="2"/>
        <v>15000</v>
      </c>
      <c r="Q8" s="14">
        <f t="shared" si="3"/>
        <v>0.6</v>
      </c>
    </row>
    <row r="9" spans="2:17">
      <c r="B9" s="3">
        <v>7</v>
      </c>
      <c r="C9" s="3" t="s">
        <v>32</v>
      </c>
      <c r="D9" s="4" t="s">
        <v>33</v>
      </c>
      <c r="E9" s="3" t="s">
        <v>34</v>
      </c>
      <c r="F9" s="3">
        <v>44</v>
      </c>
      <c r="G9" s="3" t="s">
        <v>19</v>
      </c>
      <c r="H9" s="5" t="s">
        <v>20</v>
      </c>
      <c r="I9" s="5">
        <v>6</v>
      </c>
      <c r="J9" s="5">
        <v>3</v>
      </c>
      <c r="K9" s="5">
        <v>2</v>
      </c>
      <c r="L9" s="11">
        <f t="shared" si="0"/>
        <v>5</v>
      </c>
      <c r="M9" s="11">
        <f t="shared" si="1"/>
        <v>1</v>
      </c>
      <c r="N9" s="12">
        <v>25000</v>
      </c>
      <c r="O9" s="12">
        <v>40000</v>
      </c>
      <c r="P9" s="13">
        <f t="shared" si="2"/>
        <v>15000</v>
      </c>
      <c r="Q9" s="14">
        <f t="shared" si="3"/>
        <v>0.6</v>
      </c>
    </row>
    <row r="10" spans="2:17">
      <c r="B10" s="3">
        <v>8</v>
      </c>
      <c r="C10" s="3" t="s">
        <v>35</v>
      </c>
      <c r="D10" s="6"/>
      <c r="E10" s="3" t="s">
        <v>26</v>
      </c>
      <c r="F10" s="3">
        <v>43</v>
      </c>
      <c r="G10" s="3" t="s">
        <v>36</v>
      </c>
      <c r="H10" s="5" t="s">
        <v>20</v>
      </c>
      <c r="I10" s="5">
        <v>4</v>
      </c>
      <c r="J10" s="5">
        <v>2</v>
      </c>
      <c r="K10" s="5">
        <v>1</v>
      </c>
      <c r="L10" s="11">
        <f t="shared" si="0"/>
        <v>3</v>
      </c>
      <c r="M10" s="11">
        <f t="shared" si="1"/>
        <v>1</v>
      </c>
      <c r="N10" s="12">
        <v>25000</v>
      </c>
      <c r="O10" s="12">
        <v>40000</v>
      </c>
      <c r="P10" s="13">
        <f t="shared" si="2"/>
        <v>15000</v>
      </c>
      <c r="Q10" s="14">
        <f t="shared" si="3"/>
        <v>0.6</v>
      </c>
    </row>
    <row r="11" spans="2:17">
      <c r="B11" s="3">
        <v>9</v>
      </c>
      <c r="C11" s="3" t="s">
        <v>37</v>
      </c>
      <c r="D11" s="6"/>
      <c r="E11" s="3" t="s">
        <v>38</v>
      </c>
      <c r="F11" s="3">
        <v>42</v>
      </c>
      <c r="G11" s="3" t="s">
        <v>19</v>
      </c>
      <c r="H11" s="5" t="s">
        <v>20</v>
      </c>
      <c r="I11" s="5">
        <v>7</v>
      </c>
      <c r="J11" s="5">
        <v>4</v>
      </c>
      <c r="K11" s="5">
        <v>1</v>
      </c>
      <c r="L11" s="11">
        <f t="shared" si="0"/>
        <v>5</v>
      </c>
      <c r="M11" s="11">
        <f t="shared" si="1"/>
        <v>2</v>
      </c>
      <c r="N11" s="12">
        <v>25000</v>
      </c>
      <c r="O11" s="12">
        <v>40000</v>
      </c>
      <c r="P11" s="13">
        <f t="shared" si="2"/>
        <v>15000</v>
      </c>
      <c r="Q11" s="14">
        <f t="shared" si="3"/>
        <v>0.6</v>
      </c>
    </row>
    <row r="12" spans="2:17">
      <c r="B12" s="3">
        <v>10</v>
      </c>
      <c r="C12" s="3" t="s">
        <v>39</v>
      </c>
      <c r="D12" s="7"/>
      <c r="E12" s="3" t="s">
        <v>24</v>
      </c>
      <c r="F12" s="3">
        <v>40</v>
      </c>
      <c r="G12" s="3" t="s">
        <v>19</v>
      </c>
      <c r="H12" s="5" t="s">
        <v>20</v>
      </c>
      <c r="I12" s="5">
        <v>4</v>
      </c>
      <c r="J12" s="5">
        <v>2</v>
      </c>
      <c r="K12" s="5">
        <v>2</v>
      </c>
      <c r="L12" s="11">
        <f t="shared" si="0"/>
        <v>4</v>
      </c>
      <c r="M12" s="11">
        <f t="shared" si="1"/>
        <v>0</v>
      </c>
      <c r="N12" s="12">
        <v>25000</v>
      </c>
      <c r="O12" s="12">
        <v>40000</v>
      </c>
      <c r="P12" s="13">
        <f t="shared" si="2"/>
        <v>15000</v>
      </c>
      <c r="Q12" s="14">
        <f t="shared" si="3"/>
        <v>0.6</v>
      </c>
    </row>
    <row r="13" spans="2:17">
      <c r="B13" s="3">
        <v>11</v>
      </c>
      <c r="C13" s="3" t="s">
        <v>40</v>
      </c>
      <c r="D13" s="4" t="s">
        <v>41</v>
      </c>
      <c r="E13" s="3" t="s">
        <v>18</v>
      </c>
      <c r="F13" s="3">
        <v>38</v>
      </c>
      <c r="G13" s="3" t="s">
        <v>29</v>
      </c>
      <c r="H13" s="5" t="s">
        <v>20</v>
      </c>
      <c r="I13" s="5">
        <v>8</v>
      </c>
      <c r="J13" s="5">
        <v>2</v>
      </c>
      <c r="K13" s="5">
        <v>3</v>
      </c>
      <c r="L13" s="11">
        <f t="shared" si="0"/>
        <v>5</v>
      </c>
      <c r="M13" s="11">
        <f t="shared" si="1"/>
        <v>3</v>
      </c>
      <c r="N13" s="12">
        <v>25000</v>
      </c>
      <c r="O13" s="12">
        <v>40000</v>
      </c>
      <c r="P13" s="13">
        <f t="shared" si="2"/>
        <v>15000</v>
      </c>
      <c r="Q13" s="14">
        <f t="shared" si="3"/>
        <v>0.6</v>
      </c>
    </row>
    <row r="14" spans="2:17">
      <c r="B14" s="3">
        <v>12</v>
      </c>
      <c r="C14" s="3" t="s">
        <v>42</v>
      </c>
      <c r="D14" s="7"/>
      <c r="E14" s="3" t="s">
        <v>24</v>
      </c>
      <c r="F14" s="3">
        <v>37</v>
      </c>
      <c r="G14" s="3" t="s">
        <v>19</v>
      </c>
      <c r="H14" s="5" t="s">
        <v>20</v>
      </c>
      <c r="I14" s="5">
        <v>3</v>
      </c>
      <c r="J14" s="5">
        <v>1</v>
      </c>
      <c r="K14" s="5">
        <v>2</v>
      </c>
      <c r="L14" s="11">
        <f t="shared" si="0"/>
        <v>3</v>
      </c>
      <c r="M14" s="11">
        <f t="shared" si="1"/>
        <v>0</v>
      </c>
      <c r="N14" s="12">
        <v>25000</v>
      </c>
      <c r="O14" s="12">
        <v>40000</v>
      </c>
      <c r="P14" s="13">
        <f t="shared" si="2"/>
        <v>15000</v>
      </c>
      <c r="Q14" s="14">
        <f t="shared" si="3"/>
        <v>0.6</v>
      </c>
    </row>
    <row r="15" spans="2:17">
      <c r="B15" s="3">
        <v>13</v>
      </c>
      <c r="C15" s="3" t="s">
        <v>43</v>
      </c>
      <c r="D15" s="4" t="s">
        <v>44</v>
      </c>
      <c r="E15" s="3" t="s">
        <v>45</v>
      </c>
      <c r="F15" s="3">
        <v>40</v>
      </c>
      <c r="G15" s="3" t="s">
        <v>19</v>
      </c>
      <c r="H15" s="5" t="s">
        <v>20</v>
      </c>
      <c r="I15" s="5">
        <v>9</v>
      </c>
      <c r="J15" s="5">
        <v>1</v>
      </c>
      <c r="K15" s="5">
        <v>1</v>
      </c>
      <c r="L15" s="11">
        <f t="shared" si="0"/>
        <v>2</v>
      </c>
      <c r="M15" s="11">
        <f t="shared" si="1"/>
        <v>7</v>
      </c>
      <c r="N15" s="12">
        <v>25000</v>
      </c>
      <c r="O15" s="12">
        <v>40000</v>
      </c>
      <c r="P15" s="13">
        <f t="shared" si="2"/>
        <v>15000</v>
      </c>
      <c r="Q15" s="14">
        <f t="shared" si="3"/>
        <v>0.6</v>
      </c>
    </row>
    <row r="16" spans="2:17">
      <c r="B16" s="3">
        <v>14</v>
      </c>
      <c r="C16" s="3" t="s">
        <v>46</v>
      </c>
      <c r="D16" s="6"/>
      <c r="E16" s="3" t="s">
        <v>18</v>
      </c>
      <c r="F16" s="3">
        <v>42</v>
      </c>
      <c r="G16" s="3" t="s">
        <v>19</v>
      </c>
      <c r="H16" s="5" t="s">
        <v>20</v>
      </c>
      <c r="I16" s="5">
        <v>4</v>
      </c>
      <c r="J16" s="5">
        <v>3</v>
      </c>
      <c r="K16" s="5">
        <v>0</v>
      </c>
      <c r="L16" s="11">
        <f t="shared" si="0"/>
        <v>3</v>
      </c>
      <c r="M16" s="11">
        <f t="shared" si="1"/>
        <v>1</v>
      </c>
      <c r="N16" s="12">
        <v>25000</v>
      </c>
      <c r="O16" s="12">
        <v>40000</v>
      </c>
      <c r="P16" s="13">
        <f t="shared" si="2"/>
        <v>15000</v>
      </c>
      <c r="Q16" s="14">
        <f t="shared" si="3"/>
        <v>0.6</v>
      </c>
    </row>
    <row r="17" spans="2:17">
      <c r="B17" s="3">
        <v>15</v>
      </c>
      <c r="C17" s="3" t="s">
        <v>47</v>
      </c>
      <c r="D17" s="6"/>
      <c r="E17" s="3" t="s">
        <v>22</v>
      </c>
      <c r="F17" s="3">
        <v>41</v>
      </c>
      <c r="G17" s="3" t="s">
        <v>19</v>
      </c>
      <c r="H17" s="5" t="s">
        <v>20</v>
      </c>
      <c r="I17" s="5">
        <v>3</v>
      </c>
      <c r="J17" s="5">
        <v>2</v>
      </c>
      <c r="K17" s="5">
        <v>0</v>
      </c>
      <c r="L17" s="11">
        <f t="shared" si="0"/>
        <v>2</v>
      </c>
      <c r="M17" s="11">
        <f t="shared" si="1"/>
        <v>1</v>
      </c>
      <c r="N17" s="12">
        <v>25000</v>
      </c>
      <c r="O17" s="12">
        <v>40000</v>
      </c>
      <c r="P17" s="13">
        <f t="shared" si="2"/>
        <v>15000</v>
      </c>
      <c r="Q17" s="14">
        <f t="shared" si="3"/>
        <v>0.6</v>
      </c>
    </row>
    <row r="18" spans="2:17">
      <c r="B18" s="3">
        <v>16</v>
      </c>
      <c r="C18" s="3" t="s">
        <v>48</v>
      </c>
      <c r="D18" s="6"/>
      <c r="E18" s="3" t="s">
        <v>24</v>
      </c>
      <c r="F18" s="3">
        <v>43</v>
      </c>
      <c r="G18" s="3" t="s">
        <v>29</v>
      </c>
      <c r="H18" s="5" t="s">
        <v>20</v>
      </c>
      <c r="I18" s="5">
        <v>5</v>
      </c>
      <c r="J18" s="5">
        <v>4</v>
      </c>
      <c r="K18" s="5">
        <v>0</v>
      </c>
      <c r="L18" s="11">
        <f t="shared" si="0"/>
        <v>4</v>
      </c>
      <c r="M18" s="11">
        <f t="shared" si="1"/>
        <v>1</v>
      </c>
      <c r="N18" s="12">
        <v>25000</v>
      </c>
      <c r="O18" s="12">
        <v>40000</v>
      </c>
      <c r="P18" s="13">
        <f t="shared" si="2"/>
        <v>15000</v>
      </c>
      <c r="Q18" s="14">
        <f t="shared" si="3"/>
        <v>0.6</v>
      </c>
    </row>
    <row r="19" spans="2:17">
      <c r="B19" s="3">
        <v>17</v>
      </c>
      <c r="C19" s="3" t="s">
        <v>49</v>
      </c>
      <c r="D19" s="6"/>
      <c r="E19" s="3" t="s">
        <v>26</v>
      </c>
      <c r="F19" s="3">
        <v>44</v>
      </c>
      <c r="G19" s="3" t="s">
        <v>29</v>
      </c>
      <c r="H19" s="5" t="s">
        <v>20</v>
      </c>
      <c r="I19" s="5">
        <v>6</v>
      </c>
      <c r="J19" s="5">
        <v>2</v>
      </c>
      <c r="K19" s="5">
        <v>1</v>
      </c>
      <c r="L19" s="11">
        <f t="shared" si="0"/>
        <v>3</v>
      </c>
      <c r="M19" s="11">
        <f t="shared" si="1"/>
        <v>3</v>
      </c>
      <c r="N19" s="12">
        <v>25000</v>
      </c>
      <c r="O19" s="12">
        <v>40000</v>
      </c>
      <c r="P19" s="13">
        <f t="shared" si="2"/>
        <v>15000</v>
      </c>
      <c r="Q19" s="14">
        <f t="shared" si="3"/>
        <v>0.6</v>
      </c>
    </row>
    <row r="20" spans="2:17">
      <c r="B20" s="3">
        <v>18</v>
      </c>
      <c r="C20" s="3" t="s">
        <v>50</v>
      </c>
      <c r="D20" s="6"/>
      <c r="E20" s="3" t="s">
        <v>28</v>
      </c>
      <c r="F20" s="3">
        <v>40</v>
      </c>
      <c r="G20" s="3" t="s">
        <v>19</v>
      </c>
      <c r="H20" s="5" t="s">
        <v>20</v>
      </c>
      <c r="I20" s="5">
        <v>4</v>
      </c>
      <c r="J20" s="5">
        <v>3</v>
      </c>
      <c r="K20" s="5">
        <v>1</v>
      </c>
      <c r="L20" s="11">
        <f t="shared" si="0"/>
        <v>4</v>
      </c>
      <c r="M20" s="11">
        <f t="shared" si="1"/>
        <v>0</v>
      </c>
      <c r="N20" s="12">
        <v>25000</v>
      </c>
      <c r="O20" s="12">
        <v>40000</v>
      </c>
      <c r="P20" s="13">
        <f t="shared" si="2"/>
        <v>15000</v>
      </c>
      <c r="Q20" s="14">
        <f t="shared" si="3"/>
        <v>0.6</v>
      </c>
    </row>
    <row r="21" spans="2:17">
      <c r="B21" s="3">
        <v>19</v>
      </c>
      <c r="C21" s="3" t="s">
        <v>51</v>
      </c>
      <c r="D21" s="7"/>
      <c r="E21" s="3" t="s">
        <v>31</v>
      </c>
      <c r="F21" s="3">
        <v>42</v>
      </c>
      <c r="G21" s="3" t="s">
        <v>52</v>
      </c>
      <c r="H21" s="5" t="s">
        <v>20</v>
      </c>
      <c r="I21" s="5">
        <v>7</v>
      </c>
      <c r="J21" s="5">
        <v>2</v>
      </c>
      <c r="K21" s="5">
        <v>2</v>
      </c>
      <c r="L21" s="11">
        <f t="shared" si="0"/>
        <v>4</v>
      </c>
      <c r="M21" s="11">
        <f t="shared" si="1"/>
        <v>3</v>
      </c>
      <c r="N21" s="12">
        <v>25000</v>
      </c>
      <c r="O21" s="12">
        <v>40000</v>
      </c>
      <c r="P21" s="13">
        <f t="shared" si="2"/>
        <v>15000</v>
      </c>
      <c r="Q21" s="14">
        <f t="shared" si="3"/>
        <v>0.6</v>
      </c>
    </row>
    <row r="22" spans="2:17">
      <c r="B22" s="3">
        <v>20</v>
      </c>
      <c r="C22" s="3" t="s">
        <v>53</v>
      </c>
      <c r="D22" s="4" t="s">
        <v>54</v>
      </c>
      <c r="E22" s="3" t="s">
        <v>34</v>
      </c>
      <c r="F22" s="3">
        <v>42</v>
      </c>
      <c r="G22" s="3" t="s">
        <v>19</v>
      </c>
      <c r="H22" s="5" t="s">
        <v>20</v>
      </c>
      <c r="I22" s="5">
        <v>3</v>
      </c>
      <c r="J22" s="5">
        <v>2</v>
      </c>
      <c r="K22" s="5">
        <v>0</v>
      </c>
      <c r="L22" s="11">
        <f t="shared" si="0"/>
        <v>2</v>
      </c>
      <c r="M22" s="11">
        <f t="shared" si="1"/>
        <v>1</v>
      </c>
      <c r="N22" s="12">
        <v>25000</v>
      </c>
      <c r="O22" s="12">
        <v>40000</v>
      </c>
      <c r="P22" s="13">
        <f t="shared" si="2"/>
        <v>15000</v>
      </c>
      <c r="Q22" s="14">
        <f t="shared" si="3"/>
        <v>0.6</v>
      </c>
    </row>
    <row r="23" spans="2:17">
      <c r="B23" s="3">
        <v>21</v>
      </c>
      <c r="C23" s="3" t="s">
        <v>55</v>
      </c>
      <c r="D23" s="6"/>
      <c r="E23" s="3" t="s">
        <v>26</v>
      </c>
      <c r="F23" s="3">
        <v>41</v>
      </c>
      <c r="G23" s="3" t="s">
        <v>19</v>
      </c>
      <c r="H23" s="5" t="s">
        <v>20</v>
      </c>
      <c r="I23" s="5">
        <v>6</v>
      </c>
      <c r="J23" s="5">
        <v>1</v>
      </c>
      <c r="K23" s="5">
        <v>2</v>
      </c>
      <c r="L23" s="11">
        <f t="shared" si="0"/>
        <v>3</v>
      </c>
      <c r="M23" s="11">
        <f t="shared" si="1"/>
        <v>3</v>
      </c>
      <c r="N23" s="12">
        <v>25000</v>
      </c>
      <c r="O23" s="12">
        <v>40000</v>
      </c>
      <c r="P23" s="13">
        <f t="shared" si="2"/>
        <v>15000</v>
      </c>
      <c r="Q23" s="14">
        <f t="shared" si="3"/>
        <v>0.6</v>
      </c>
    </row>
    <row r="24" spans="2:17">
      <c r="B24" s="3">
        <v>22</v>
      </c>
      <c r="C24" s="3" t="s">
        <v>56</v>
      </c>
      <c r="D24" s="7"/>
      <c r="E24" s="3" t="s">
        <v>38</v>
      </c>
      <c r="F24" s="3">
        <v>43</v>
      </c>
      <c r="G24" s="3" t="s">
        <v>19</v>
      </c>
      <c r="H24" s="5" t="s">
        <v>20</v>
      </c>
      <c r="I24" s="5">
        <v>5</v>
      </c>
      <c r="J24" s="5">
        <v>1</v>
      </c>
      <c r="K24" s="5">
        <v>1</v>
      </c>
      <c r="L24" s="11">
        <f t="shared" si="0"/>
        <v>2</v>
      </c>
      <c r="M24" s="11">
        <f t="shared" si="1"/>
        <v>3</v>
      </c>
      <c r="N24" s="12">
        <v>25000</v>
      </c>
      <c r="O24" s="12">
        <v>40000</v>
      </c>
      <c r="P24" s="13">
        <f t="shared" si="2"/>
        <v>15000</v>
      </c>
      <c r="Q24" s="14">
        <f t="shared" si="3"/>
        <v>0.6</v>
      </c>
    </row>
    <row r="25" spans="2:17">
      <c r="B25" s="3">
        <v>23</v>
      </c>
      <c r="C25" s="3" t="s">
        <v>57</v>
      </c>
      <c r="D25" s="4" t="s">
        <v>58</v>
      </c>
      <c r="E25" s="3" t="s">
        <v>24</v>
      </c>
      <c r="F25" s="3">
        <v>38</v>
      </c>
      <c r="G25" s="3" t="s">
        <v>29</v>
      </c>
      <c r="H25" s="5" t="s">
        <v>20</v>
      </c>
      <c r="I25" s="5">
        <v>3</v>
      </c>
      <c r="J25" s="5">
        <v>3</v>
      </c>
      <c r="K25" s="5">
        <v>0</v>
      </c>
      <c r="L25" s="11">
        <f t="shared" si="0"/>
        <v>3</v>
      </c>
      <c r="M25" s="11">
        <f t="shared" si="1"/>
        <v>0</v>
      </c>
      <c r="N25" s="12">
        <v>25000</v>
      </c>
      <c r="O25" s="12">
        <v>40000</v>
      </c>
      <c r="P25" s="13">
        <f t="shared" si="2"/>
        <v>15000</v>
      </c>
      <c r="Q25" s="14">
        <f t="shared" si="3"/>
        <v>0.6</v>
      </c>
    </row>
    <row r="26" spans="2:17">
      <c r="B26" s="3">
        <v>24</v>
      </c>
      <c r="C26" s="3" t="s">
        <v>59</v>
      </c>
      <c r="D26" s="6"/>
      <c r="E26" s="3" t="s">
        <v>18</v>
      </c>
      <c r="F26" s="3">
        <v>37</v>
      </c>
      <c r="G26" s="3" t="s">
        <v>29</v>
      </c>
      <c r="H26" s="5" t="s">
        <v>20</v>
      </c>
      <c r="I26" s="5">
        <v>7</v>
      </c>
      <c r="J26" s="5">
        <v>2</v>
      </c>
      <c r="K26" s="5">
        <v>2</v>
      </c>
      <c r="L26" s="11">
        <f t="shared" si="0"/>
        <v>4</v>
      </c>
      <c r="M26" s="11">
        <f t="shared" si="1"/>
        <v>3</v>
      </c>
      <c r="N26" s="12">
        <v>25000</v>
      </c>
      <c r="O26" s="12">
        <v>40000</v>
      </c>
      <c r="P26" s="13">
        <f t="shared" si="2"/>
        <v>15000</v>
      </c>
      <c r="Q26" s="14">
        <f t="shared" si="3"/>
        <v>0.6</v>
      </c>
    </row>
    <row r="27" spans="2:17">
      <c r="B27" s="3">
        <v>25</v>
      </c>
      <c r="C27" s="3" t="s">
        <v>60</v>
      </c>
      <c r="D27" s="6"/>
      <c r="E27" s="3" t="s">
        <v>24</v>
      </c>
      <c r="F27" s="3">
        <v>39</v>
      </c>
      <c r="G27" s="3" t="s">
        <v>19</v>
      </c>
      <c r="H27" s="5" t="s">
        <v>20</v>
      </c>
      <c r="I27" s="5">
        <v>4</v>
      </c>
      <c r="J27" s="5">
        <v>2</v>
      </c>
      <c r="K27" s="5">
        <v>0</v>
      </c>
      <c r="L27" s="11">
        <f t="shared" si="0"/>
        <v>2</v>
      </c>
      <c r="M27" s="11">
        <f t="shared" si="1"/>
        <v>2</v>
      </c>
      <c r="N27" s="12">
        <v>25000</v>
      </c>
      <c r="O27" s="12">
        <v>40000</v>
      </c>
      <c r="P27" s="13">
        <f t="shared" si="2"/>
        <v>15000</v>
      </c>
      <c r="Q27" s="14">
        <f t="shared" si="3"/>
        <v>0.6</v>
      </c>
    </row>
    <row r="28" spans="2:17">
      <c r="B28" s="3">
        <v>26</v>
      </c>
      <c r="C28" s="3" t="s">
        <v>61</v>
      </c>
      <c r="D28" s="6"/>
      <c r="E28" s="3" t="s">
        <v>45</v>
      </c>
      <c r="F28" s="3">
        <v>40</v>
      </c>
      <c r="G28" s="3" t="s">
        <v>19</v>
      </c>
      <c r="H28" s="5" t="s">
        <v>20</v>
      </c>
      <c r="I28" s="5">
        <v>6</v>
      </c>
      <c r="J28" s="5">
        <v>3</v>
      </c>
      <c r="K28" s="5">
        <v>2</v>
      </c>
      <c r="L28" s="11">
        <f t="shared" si="0"/>
        <v>5</v>
      </c>
      <c r="M28" s="11">
        <f t="shared" si="1"/>
        <v>1</v>
      </c>
      <c r="N28" s="12">
        <v>25000</v>
      </c>
      <c r="O28" s="12">
        <v>40000</v>
      </c>
      <c r="P28" s="13">
        <f t="shared" si="2"/>
        <v>15000</v>
      </c>
      <c r="Q28" s="14">
        <f t="shared" si="3"/>
        <v>0.6</v>
      </c>
    </row>
    <row r="29" spans="2:17">
      <c r="B29" s="3">
        <v>27</v>
      </c>
      <c r="C29" s="3" t="s">
        <v>62</v>
      </c>
      <c r="D29" s="6"/>
      <c r="E29" s="3" t="s">
        <v>63</v>
      </c>
      <c r="F29" s="3">
        <v>42</v>
      </c>
      <c r="G29" s="3" t="s">
        <v>19</v>
      </c>
      <c r="H29" s="5" t="s">
        <v>20</v>
      </c>
      <c r="I29" s="5">
        <v>4</v>
      </c>
      <c r="J29" s="5">
        <v>2</v>
      </c>
      <c r="K29" s="5">
        <v>1</v>
      </c>
      <c r="L29" s="11">
        <f t="shared" si="0"/>
        <v>3</v>
      </c>
      <c r="M29" s="11">
        <f t="shared" si="1"/>
        <v>1</v>
      </c>
      <c r="N29" s="12">
        <v>25000</v>
      </c>
      <c r="O29" s="12">
        <v>40000</v>
      </c>
      <c r="P29" s="13">
        <f t="shared" si="2"/>
        <v>15000</v>
      </c>
      <c r="Q29" s="14">
        <f t="shared" si="3"/>
        <v>0.6</v>
      </c>
    </row>
    <row r="30" spans="2:17">
      <c r="B30" s="3">
        <v>28</v>
      </c>
      <c r="C30" s="3" t="s">
        <v>64</v>
      </c>
      <c r="D30" s="7"/>
      <c r="E30" s="3" t="s">
        <v>18</v>
      </c>
      <c r="F30" s="3">
        <v>38</v>
      </c>
      <c r="G30" s="3" t="s">
        <v>29</v>
      </c>
      <c r="H30" s="5" t="s">
        <v>20</v>
      </c>
      <c r="I30" s="5">
        <v>6</v>
      </c>
      <c r="J30" s="5">
        <v>2</v>
      </c>
      <c r="K30" s="5">
        <v>2</v>
      </c>
      <c r="L30" s="11">
        <f t="shared" si="0"/>
        <v>4</v>
      </c>
      <c r="M30" s="11">
        <f t="shared" si="1"/>
        <v>2</v>
      </c>
      <c r="N30" s="12">
        <v>25000</v>
      </c>
      <c r="O30" s="12">
        <v>40000</v>
      </c>
      <c r="P30" s="13">
        <f t="shared" si="2"/>
        <v>15000</v>
      </c>
      <c r="Q30" s="14">
        <f t="shared" si="3"/>
        <v>0.6</v>
      </c>
    </row>
    <row r="31" spans="2:17">
      <c r="B31" s="3">
        <v>29</v>
      </c>
      <c r="C31" s="3" t="s">
        <v>65</v>
      </c>
      <c r="D31" s="4" t="s">
        <v>66</v>
      </c>
      <c r="E31" s="3" t="s">
        <v>67</v>
      </c>
      <c r="F31" s="3">
        <v>44</v>
      </c>
      <c r="G31" s="3" t="s">
        <v>19</v>
      </c>
      <c r="H31" s="5" t="s">
        <v>20</v>
      </c>
      <c r="I31" s="5">
        <v>4</v>
      </c>
      <c r="J31" s="5">
        <v>1</v>
      </c>
      <c r="K31" s="5">
        <v>3</v>
      </c>
      <c r="L31" s="11">
        <f t="shared" si="0"/>
        <v>4</v>
      </c>
      <c r="M31" s="11">
        <f t="shared" si="1"/>
        <v>0</v>
      </c>
      <c r="N31" s="12">
        <v>25000</v>
      </c>
      <c r="O31" s="12">
        <v>40000</v>
      </c>
      <c r="P31" s="13">
        <f t="shared" si="2"/>
        <v>15000</v>
      </c>
      <c r="Q31" s="14">
        <f t="shared" si="3"/>
        <v>0.6</v>
      </c>
    </row>
    <row r="32" spans="2:17">
      <c r="B32" s="3">
        <v>30</v>
      </c>
      <c r="C32" s="3" t="s">
        <v>68</v>
      </c>
      <c r="D32" s="6"/>
      <c r="E32" s="3" t="s">
        <v>45</v>
      </c>
      <c r="F32" s="3">
        <v>41</v>
      </c>
      <c r="G32" s="3" t="s">
        <v>69</v>
      </c>
      <c r="H32" s="5" t="s">
        <v>20</v>
      </c>
      <c r="I32" s="5">
        <v>5</v>
      </c>
      <c r="J32" s="5">
        <v>1</v>
      </c>
      <c r="K32" s="5">
        <v>2</v>
      </c>
      <c r="L32" s="11">
        <f t="shared" si="0"/>
        <v>3</v>
      </c>
      <c r="M32" s="11">
        <f t="shared" si="1"/>
        <v>2</v>
      </c>
      <c r="N32" s="12">
        <v>25000</v>
      </c>
      <c r="O32" s="12">
        <v>40000</v>
      </c>
      <c r="P32" s="13">
        <f t="shared" si="2"/>
        <v>15000</v>
      </c>
      <c r="Q32" s="14">
        <f t="shared" si="3"/>
        <v>0.6</v>
      </c>
    </row>
    <row r="33" spans="2:17">
      <c r="B33" s="3">
        <v>31</v>
      </c>
      <c r="C33" s="3" t="s">
        <v>70</v>
      </c>
      <c r="D33" s="7"/>
      <c r="E33" s="3" t="s">
        <v>71</v>
      </c>
      <c r="F33" s="3">
        <v>42</v>
      </c>
      <c r="G33" s="3" t="s">
        <v>19</v>
      </c>
      <c r="H33" s="5" t="s">
        <v>20</v>
      </c>
      <c r="I33" s="5">
        <v>4</v>
      </c>
      <c r="J33" s="5">
        <v>3</v>
      </c>
      <c r="K33" s="5">
        <v>1</v>
      </c>
      <c r="L33" s="11">
        <f t="shared" si="0"/>
        <v>4</v>
      </c>
      <c r="M33" s="11">
        <f t="shared" si="1"/>
        <v>0</v>
      </c>
      <c r="N33" s="12">
        <v>25000</v>
      </c>
      <c r="O33" s="12">
        <v>40000</v>
      </c>
      <c r="P33" s="13">
        <f t="shared" si="2"/>
        <v>15000</v>
      </c>
      <c r="Q33" s="14">
        <f t="shared" si="3"/>
        <v>0.6</v>
      </c>
    </row>
    <row r="34" spans="2:17">
      <c r="B34" s="3">
        <v>32</v>
      </c>
      <c r="C34" s="3" t="s">
        <v>72</v>
      </c>
      <c r="D34" s="4" t="s">
        <v>73</v>
      </c>
      <c r="E34" s="3" t="s">
        <v>74</v>
      </c>
      <c r="F34" s="3">
        <v>40</v>
      </c>
      <c r="G34" s="3" t="s">
        <v>19</v>
      </c>
      <c r="H34" s="5" t="s">
        <v>20</v>
      </c>
      <c r="I34" s="5">
        <v>7</v>
      </c>
      <c r="J34" s="5">
        <v>2</v>
      </c>
      <c r="K34" s="5">
        <v>1</v>
      </c>
      <c r="L34" s="11">
        <f t="shared" si="0"/>
        <v>3</v>
      </c>
      <c r="M34" s="11">
        <f t="shared" si="1"/>
        <v>4</v>
      </c>
      <c r="N34" s="12">
        <v>25000</v>
      </c>
      <c r="O34" s="12">
        <v>40000</v>
      </c>
      <c r="P34" s="13">
        <f t="shared" si="2"/>
        <v>15000</v>
      </c>
      <c r="Q34" s="14">
        <f t="shared" si="3"/>
        <v>0.6</v>
      </c>
    </row>
    <row r="35" spans="2:17">
      <c r="B35" s="3">
        <v>33</v>
      </c>
      <c r="C35" s="3" t="s">
        <v>75</v>
      </c>
      <c r="D35" s="7"/>
      <c r="E35" s="3" t="s">
        <v>76</v>
      </c>
      <c r="F35" s="3">
        <v>41</v>
      </c>
      <c r="G35" s="3" t="s">
        <v>69</v>
      </c>
      <c r="H35" s="5" t="s">
        <v>20</v>
      </c>
      <c r="I35" s="5">
        <v>3</v>
      </c>
      <c r="J35" s="5">
        <v>2</v>
      </c>
      <c r="K35" s="5">
        <v>0</v>
      </c>
      <c r="L35" s="11">
        <f t="shared" si="0"/>
        <v>2</v>
      </c>
      <c r="M35" s="11">
        <f t="shared" si="1"/>
        <v>1</v>
      </c>
      <c r="N35" s="12">
        <v>25000</v>
      </c>
      <c r="O35" s="12">
        <v>40000</v>
      </c>
      <c r="P35" s="13">
        <f t="shared" si="2"/>
        <v>15000</v>
      </c>
      <c r="Q35" s="14">
        <f t="shared" si="3"/>
        <v>0.6</v>
      </c>
    </row>
    <row r="36" spans="2:17">
      <c r="B36" s="3">
        <v>34</v>
      </c>
      <c r="C36" s="3" t="s">
        <v>77</v>
      </c>
      <c r="D36" s="4" t="s">
        <v>78</v>
      </c>
      <c r="E36" s="3" t="s">
        <v>79</v>
      </c>
      <c r="F36" s="3">
        <v>42</v>
      </c>
      <c r="G36" s="3" t="s">
        <v>19</v>
      </c>
      <c r="H36" s="5" t="s">
        <v>20</v>
      </c>
      <c r="I36" s="5">
        <v>6</v>
      </c>
      <c r="J36" s="5">
        <v>3</v>
      </c>
      <c r="K36" s="5">
        <v>3</v>
      </c>
      <c r="L36" s="11">
        <f t="shared" si="0"/>
        <v>6</v>
      </c>
      <c r="M36" s="11">
        <f t="shared" si="1"/>
        <v>0</v>
      </c>
      <c r="N36" s="12">
        <v>25000</v>
      </c>
      <c r="O36" s="12">
        <v>40000</v>
      </c>
      <c r="P36" s="13">
        <f t="shared" si="2"/>
        <v>15000</v>
      </c>
      <c r="Q36" s="14">
        <f t="shared" si="3"/>
        <v>0.6</v>
      </c>
    </row>
    <row r="37" spans="2:17">
      <c r="B37" s="3">
        <v>35</v>
      </c>
      <c r="C37" s="3" t="s">
        <v>80</v>
      </c>
      <c r="D37" s="6"/>
      <c r="E37" s="3" t="s">
        <v>81</v>
      </c>
      <c r="F37" s="3">
        <v>37</v>
      </c>
      <c r="G37" s="3" t="s">
        <v>19</v>
      </c>
      <c r="H37" s="5" t="s">
        <v>20</v>
      </c>
      <c r="I37" s="5">
        <v>5</v>
      </c>
      <c r="J37" s="5">
        <v>2</v>
      </c>
      <c r="K37" s="5">
        <v>2</v>
      </c>
      <c r="L37" s="11">
        <f t="shared" si="0"/>
        <v>4</v>
      </c>
      <c r="M37" s="11">
        <f t="shared" si="1"/>
        <v>1</v>
      </c>
      <c r="N37" s="12">
        <v>25000</v>
      </c>
      <c r="O37" s="12">
        <v>40000</v>
      </c>
      <c r="P37" s="13">
        <f t="shared" si="2"/>
        <v>15000</v>
      </c>
      <c r="Q37" s="14">
        <f t="shared" si="3"/>
        <v>0.6</v>
      </c>
    </row>
    <row r="38" spans="2:17">
      <c r="B38" s="3">
        <v>36</v>
      </c>
      <c r="C38" s="3" t="s">
        <v>82</v>
      </c>
      <c r="D38" s="6"/>
      <c r="E38" s="3" t="s">
        <v>83</v>
      </c>
      <c r="F38" s="3">
        <v>39</v>
      </c>
      <c r="G38" s="3" t="s">
        <v>19</v>
      </c>
      <c r="H38" s="5" t="s">
        <v>20</v>
      </c>
      <c r="I38" s="5">
        <v>3</v>
      </c>
      <c r="J38" s="5">
        <v>2</v>
      </c>
      <c r="K38" s="5">
        <v>1</v>
      </c>
      <c r="L38" s="11">
        <f t="shared" si="0"/>
        <v>3</v>
      </c>
      <c r="M38" s="11">
        <f t="shared" si="1"/>
        <v>0</v>
      </c>
      <c r="N38" s="12">
        <v>25000</v>
      </c>
      <c r="O38" s="12">
        <v>40000</v>
      </c>
      <c r="P38" s="13">
        <f t="shared" si="2"/>
        <v>15000</v>
      </c>
      <c r="Q38" s="14">
        <f t="shared" si="3"/>
        <v>0.6</v>
      </c>
    </row>
    <row r="39" spans="2:17">
      <c r="B39" s="3">
        <v>37</v>
      </c>
      <c r="C39" s="3" t="s">
        <v>84</v>
      </c>
      <c r="D39" s="6"/>
      <c r="E39" s="3" t="s">
        <v>85</v>
      </c>
      <c r="F39" s="3">
        <v>40</v>
      </c>
      <c r="G39" s="3" t="s">
        <v>69</v>
      </c>
      <c r="H39" s="5" t="s">
        <v>20</v>
      </c>
      <c r="I39" s="5">
        <v>7</v>
      </c>
      <c r="J39" s="5">
        <v>1</v>
      </c>
      <c r="K39" s="5">
        <v>2</v>
      </c>
      <c r="L39" s="11">
        <f t="shared" si="0"/>
        <v>3</v>
      </c>
      <c r="M39" s="11">
        <f t="shared" si="1"/>
        <v>4</v>
      </c>
      <c r="N39" s="12">
        <v>25000</v>
      </c>
      <c r="O39" s="12">
        <v>40000</v>
      </c>
      <c r="P39" s="13">
        <f t="shared" si="2"/>
        <v>15000</v>
      </c>
      <c r="Q39" s="14">
        <f t="shared" si="3"/>
        <v>0.6</v>
      </c>
    </row>
    <row r="40" spans="2:17">
      <c r="B40" s="3">
        <v>38</v>
      </c>
      <c r="C40" s="3" t="s">
        <v>86</v>
      </c>
      <c r="D40" s="7"/>
      <c r="E40" s="3" t="s">
        <v>87</v>
      </c>
      <c r="F40" s="3">
        <v>38</v>
      </c>
      <c r="G40" s="3" t="s">
        <v>88</v>
      </c>
      <c r="H40" s="5" t="s">
        <v>20</v>
      </c>
      <c r="I40" s="5">
        <v>4</v>
      </c>
      <c r="J40" s="5">
        <v>1</v>
      </c>
      <c r="K40" s="5">
        <v>3</v>
      </c>
      <c r="L40" s="11">
        <f t="shared" si="0"/>
        <v>4</v>
      </c>
      <c r="M40" s="11">
        <f t="shared" si="1"/>
        <v>0</v>
      </c>
      <c r="N40" s="12">
        <v>25000</v>
      </c>
      <c r="O40" s="12">
        <v>40000</v>
      </c>
      <c r="P40" s="13">
        <f t="shared" si="2"/>
        <v>15000</v>
      </c>
      <c r="Q40" s="14">
        <f t="shared" si="3"/>
        <v>0.6</v>
      </c>
    </row>
    <row r="41" spans="2:17">
      <c r="B41" s="3">
        <v>39</v>
      </c>
      <c r="C41" s="3" t="s">
        <v>89</v>
      </c>
      <c r="D41" s="4" t="s">
        <v>90</v>
      </c>
      <c r="E41" s="3" t="s">
        <v>91</v>
      </c>
      <c r="F41" s="3">
        <v>40</v>
      </c>
      <c r="G41" s="3" t="s">
        <v>36</v>
      </c>
      <c r="H41" s="5" t="s">
        <v>20</v>
      </c>
      <c r="I41" s="5">
        <v>6</v>
      </c>
      <c r="J41" s="5">
        <v>3</v>
      </c>
      <c r="K41" s="5">
        <v>2</v>
      </c>
      <c r="L41" s="11">
        <f t="shared" si="0"/>
        <v>5</v>
      </c>
      <c r="M41" s="11">
        <f t="shared" si="1"/>
        <v>1</v>
      </c>
      <c r="N41" s="12">
        <v>25000</v>
      </c>
      <c r="O41" s="12">
        <v>40000</v>
      </c>
      <c r="P41" s="13">
        <f t="shared" si="2"/>
        <v>15000</v>
      </c>
      <c r="Q41" s="14">
        <f t="shared" si="3"/>
        <v>0.6</v>
      </c>
    </row>
    <row r="42" spans="2:17">
      <c r="B42" s="3">
        <v>40</v>
      </c>
      <c r="C42" s="3" t="s">
        <v>92</v>
      </c>
      <c r="D42" s="6"/>
      <c r="E42" s="3" t="s">
        <v>93</v>
      </c>
      <c r="F42" s="3">
        <v>42</v>
      </c>
      <c r="G42" s="3" t="s">
        <v>29</v>
      </c>
      <c r="H42" s="5" t="s">
        <v>20</v>
      </c>
      <c r="I42" s="5">
        <v>4</v>
      </c>
      <c r="J42" s="5">
        <v>2</v>
      </c>
      <c r="K42" s="5">
        <v>1</v>
      </c>
      <c r="L42" s="11">
        <f t="shared" si="0"/>
        <v>3</v>
      </c>
      <c r="M42" s="11">
        <f t="shared" si="1"/>
        <v>1</v>
      </c>
      <c r="N42" s="12">
        <v>25000</v>
      </c>
      <c r="O42" s="12">
        <v>40000</v>
      </c>
      <c r="P42" s="13">
        <f t="shared" si="2"/>
        <v>15000</v>
      </c>
      <c r="Q42" s="14">
        <f t="shared" si="3"/>
        <v>0.6</v>
      </c>
    </row>
    <row r="43" spans="2:17">
      <c r="B43" s="3">
        <v>41</v>
      </c>
      <c r="C43" s="3" t="s">
        <v>94</v>
      </c>
      <c r="D43" s="7"/>
      <c r="E43" s="3" t="s">
        <v>24</v>
      </c>
      <c r="F43" s="3">
        <v>41</v>
      </c>
      <c r="G43" s="3" t="s">
        <v>95</v>
      </c>
      <c r="H43" s="5" t="s">
        <v>20</v>
      </c>
      <c r="I43" s="5">
        <v>6</v>
      </c>
      <c r="J43" s="5">
        <v>2</v>
      </c>
      <c r="K43" s="5">
        <v>1</v>
      </c>
      <c r="L43" s="11">
        <f t="shared" si="0"/>
        <v>3</v>
      </c>
      <c r="M43" s="11">
        <f t="shared" si="1"/>
        <v>3</v>
      </c>
      <c r="N43" s="12">
        <v>25000</v>
      </c>
      <c r="O43" s="12">
        <v>40000</v>
      </c>
      <c r="P43" s="13">
        <f t="shared" si="2"/>
        <v>15000</v>
      </c>
      <c r="Q43" s="14">
        <f t="shared" si="3"/>
        <v>0.6</v>
      </c>
    </row>
    <row r="44" spans="2:17">
      <c r="B44" s="3">
        <v>42</v>
      </c>
      <c r="C44" s="3" t="s">
        <v>96</v>
      </c>
      <c r="D44" s="4" t="s">
        <v>97</v>
      </c>
      <c r="E44" s="3" t="s">
        <v>98</v>
      </c>
      <c r="F44" s="3">
        <v>44</v>
      </c>
      <c r="G44" s="3" t="s">
        <v>99</v>
      </c>
      <c r="H44" s="5" t="s">
        <v>20</v>
      </c>
      <c r="I44" s="5">
        <v>4</v>
      </c>
      <c r="J44" s="5">
        <v>2</v>
      </c>
      <c r="K44" s="5">
        <v>2</v>
      </c>
      <c r="L44" s="11">
        <f t="shared" si="0"/>
        <v>4</v>
      </c>
      <c r="M44" s="11">
        <f t="shared" si="1"/>
        <v>0</v>
      </c>
      <c r="N44" s="12">
        <v>25000</v>
      </c>
      <c r="O44" s="12">
        <v>40000</v>
      </c>
      <c r="P44" s="13">
        <f t="shared" si="2"/>
        <v>15000</v>
      </c>
      <c r="Q44" s="14">
        <f t="shared" si="3"/>
        <v>0.6</v>
      </c>
    </row>
    <row r="45" spans="2:17">
      <c r="B45" s="3">
        <v>43</v>
      </c>
      <c r="C45" s="3" t="s">
        <v>100</v>
      </c>
      <c r="D45" s="6"/>
      <c r="E45" s="3" t="s">
        <v>101</v>
      </c>
      <c r="F45" s="3">
        <v>42</v>
      </c>
      <c r="G45" s="3" t="s">
        <v>36</v>
      </c>
      <c r="H45" s="5" t="s">
        <v>20</v>
      </c>
      <c r="I45" s="5">
        <v>5</v>
      </c>
      <c r="J45" s="5">
        <v>1</v>
      </c>
      <c r="K45" s="5">
        <v>3</v>
      </c>
      <c r="L45" s="11">
        <f t="shared" si="0"/>
        <v>4</v>
      </c>
      <c r="M45" s="11">
        <f t="shared" si="1"/>
        <v>1</v>
      </c>
      <c r="N45" s="12">
        <v>25000</v>
      </c>
      <c r="O45" s="12">
        <v>40000</v>
      </c>
      <c r="P45" s="13">
        <f t="shared" si="2"/>
        <v>15000</v>
      </c>
      <c r="Q45" s="14">
        <f t="shared" si="3"/>
        <v>0.6</v>
      </c>
    </row>
    <row r="46" spans="2:17">
      <c r="B46" s="3">
        <v>44</v>
      </c>
      <c r="C46" s="3" t="s">
        <v>102</v>
      </c>
      <c r="D46" s="6"/>
      <c r="E46" s="3" t="s">
        <v>18</v>
      </c>
      <c r="F46" s="3">
        <v>43</v>
      </c>
      <c r="G46" s="3" t="s">
        <v>103</v>
      </c>
      <c r="H46" s="5" t="s">
        <v>20</v>
      </c>
      <c r="I46" s="5">
        <v>4</v>
      </c>
      <c r="J46" s="5">
        <v>1</v>
      </c>
      <c r="K46" s="5">
        <v>2</v>
      </c>
      <c r="L46" s="11">
        <f t="shared" si="0"/>
        <v>3</v>
      </c>
      <c r="M46" s="11">
        <f t="shared" si="1"/>
        <v>1</v>
      </c>
      <c r="N46" s="12">
        <v>25000</v>
      </c>
      <c r="O46" s="12">
        <v>40000</v>
      </c>
      <c r="P46" s="13">
        <f t="shared" si="2"/>
        <v>15000</v>
      </c>
      <c r="Q46" s="14">
        <f t="shared" si="3"/>
        <v>0.6</v>
      </c>
    </row>
    <row r="47" spans="2:17">
      <c r="B47" s="3">
        <v>45</v>
      </c>
      <c r="C47" s="3" t="s">
        <v>104</v>
      </c>
      <c r="D47" s="6"/>
      <c r="E47" s="3" t="s">
        <v>31</v>
      </c>
      <c r="F47" s="3">
        <v>41</v>
      </c>
      <c r="G47" s="3" t="s">
        <v>19</v>
      </c>
      <c r="H47" s="5" t="s">
        <v>20</v>
      </c>
      <c r="I47" s="5">
        <v>7</v>
      </c>
      <c r="J47" s="5">
        <v>3</v>
      </c>
      <c r="K47" s="5">
        <v>1</v>
      </c>
      <c r="L47" s="11">
        <f t="shared" si="0"/>
        <v>4</v>
      </c>
      <c r="M47" s="11">
        <f t="shared" si="1"/>
        <v>3</v>
      </c>
      <c r="N47" s="12">
        <v>25000</v>
      </c>
      <c r="O47" s="12">
        <v>40000</v>
      </c>
      <c r="P47" s="13">
        <f t="shared" si="2"/>
        <v>15000</v>
      </c>
      <c r="Q47" s="14">
        <f t="shared" si="3"/>
        <v>0.6</v>
      </c>
    </row>
    <row r="48" spans="2:17">
      <c r="B48" s="3">
        <v>46</v>
      </c>
      <c r="C48" s="3" t="s">
        <v>105</v>
      </c>
      <c r="D48" s="6"/>
      <c r="E48" s="3" t="s">
        <v>106</v>
      </c>
      <c r="F48" s="3">
        <v>40</v>
      </c>
      <c r="G48" s="3" t="s">
        <v>19</v>
      </c>
      <c r="H48" s="5" t="s">
        <v>20</v>
      </c>
      <c r="I48" s="5">
        <v>3</v>
      </c>
      <c r="J48" s="5">
        <v>2</v>
      </c>
      <c r="K48" s="5">
        <v>1</v>
      </c>
      <c r="L48" s="11">
        <f t="shared" si="0"/>
        <v>3</v>
      </c>
      <c r="M48" s="11">
        <f t="shared" si="1"/>
        <v>0</v>
      </c>
      <c r="N48" s="12">
        <v>25000</v>
      </c>
      <c r="O48" s="12">
        <v>40000</v>
      </c>
      <c r="P48" s="13">
        <f t="shared" si="2"/>
        <v>15000</v>
      </c>
      <c r="Q48" s="14">
        <f t="shared" si="3"/>
        <v>0.6</v>
      </c>
    </row>
    <row r="49" spans="2:17">
      <c r="B49" s="3">
        <v>47</v>
      </c>
      <c r="C49" s="3" t="s">
        <v>107</v>
      </c>
      <c r="D49" s="6"/>
      <c r="E49" s="3" t="s">
        <v>24</v>
      </c>
      <c r="F49" s="3">
        <v>40</v>
      </c>
      <c r="G49" s="3" t="s">
        <v>19</v>
      </c>
      <c r="H49" s="5" t="s">
        <v>20</v>
      </c>
      <c r="I49" s="5">
        <v>6</v>
      </c>
      <c r="J49" s="5">
        <v>2</v>
      </c>
      <c r="K49" s="5">
        <v>3</v>
      </c>
      <c r="L49" s="11">
        <f t="shared" si="0"/>
        <v>5</v>
      </c>
      <c r="M49" s="11">
        <f t="shared" si="1"/>
        <v>1</v>
      </c>
      <c r="N49" s="12">
        <v>25000</v>
      </c>
      <c r="O49" s="12">
        <v>40000</v>
      </c>
      <c r="P49" s="13">
        <f t="shared" si="2"/>
        <v>15000</v>
      </c>
      <c r="Q49" s="14">
        <f t="shared" si="3"/>
        <v>0.6</v>
      </c>
    </row>
    <row r="50" spans="2:17">
      <c r="B50" s="3">
        <v>48</v>
      </c>
      <c r="C50" s="3" t="s">
        <v>108</v>
      </c>
      <c r="D50" s="7"/>
      <c r="E50" s="3" t="s">
        <v>109</v>
      </c>
      <c r="F50" s="3">
        <v>43</v>
      </c>
      <c r="G50" s="3" t="s">
        <v>29</v>
      </c>
      <c r="H50" s="5" t="s">
        <v>20</v>
      </c>
      <c r="I50" s="5">
        <v>5</v>
      </c>
      <c r="J50" s="5">
        <v>3</v>
      </c>
      <c r="K50" s="5">
        <v>2</v>
      </c>
      <c r="L50" s="11">
        <f t="shared" si="0"/>
        <v>5</v>
      </c>
      <c r="M50" s="11">
        <f t="shared" si="1"/>
        <v>0</v>
      </c>
      <c r="N50" s="12">
        <v>25000</v>
      </c>
      <c r="O50" s="12">
        <v>40000</v>
      </c>
      <c r="P50" s="13">
        <f t="shared" si="2"/>
        <v>15000</v>
      </c>
      <c r="Q50" s="14">
        <f t="shared" si="3"/>
        <v>0.6</v>
      </c>
    </row>
    <row r="51" spans="2:17">
      <c r="B51" s="3">
        <v>49</v>
      </c>
      <c r="C51" s="3" t="s">
        <v>110</v>
      </c>
      <c r="D51" s="4" t="s">
        <v>111</v>
      </c>
      <c r="E51" s="3" t="s">
        <v>112</v>
      </c>
      <c r="F51" s="3">
        <v>42</v>
      </c>
      <c r="G51" s="3" t="s">
        <v>29</v>
      </c>
      <c r="H51" s="5" t="s">
        <v>20</v>
      </c>
      <c r="I51" s="5">
        <v>3</v>
      </c>
      <c r="J51" s="5">
        <v>2</v>
      </c>
      <c r="K51" s="5">
        <v>1</v>
      </c>
      <c r="L51" s="11">
        <f t="shared" si="0"/>
        <v>3</v>
      </c>
      <c r="M51" s="11">
        <f t="shared" si="1"/>
        <v>0</v>
      </c>
      <c r="N51" s="12">
        <v>20000</v>
      </c>
      <c r="O51" s="12">
        <v>35000</v>
      </c>
      <c r="P51" s="13">
        <f t="shared" si="2"/>
        <v>15000</v>
      </c>
      <c r="Q51" s="14">
        <f t="shared" si="3"/>
        <v>0.75</v>
      </c>
    </row>
    <row r="52" spans="2:17">
      <c r="B52" s="3">
        <v>50</v>
      </c>
      <c r="C52" s="3" t="s">
        <v>113</v>
      </c>
      <c r="D52" s="6"/>
      <c r="E52" s="3" t="s">
        <v>114</v>
      </c>
      <c r="F52" s="3">
        <v>43</v>
      </c>
      <c r="G52" s="3" t="s">
        <v>69</v>
      </c>
      <c r="H52" s="5" t="s">
        <v>20</v>
      </c>
      <c r="I52" s="5">
        <v>7</v>
      </c>
      <c r="J52" s="5">
        <v>2</v>
      </c>
      <c r="K52" s="5">
        <v>2</v>
      </c>
      <c r="L52" s="11">
        <f t="shared" si="0"/>
        <v>4</v>
      </c>
      <c r="M52" s="11">
        <f t="shared" si="1"/>
        <v>3</v>
      </c>
      <c r="N52" s="12">
        <v>20000</v>
      </c>
      <c r="O52" s="12">
        <v>35000</v>
      </c>
      <c r="P52" s="13">
        <f t="shared" si="2"/>
        <v>15000</v>
      </c>
      <c r="Q52" s="14">
        <f t="shared" si="3"/>
        <v>0.75</v>
      </c>
    </row>
    <row r="53" spans="2:17">
      <c r="B53" s="3">
        <v>51</v>
      </c>
      <c r="C53" s="3" t="s">
        <v>115</v>
      </c>
      <c r="D53" s="6"/>
      <c r="E53" s="3" t="s">
        <v>116</v>
      </c>
      <c r="F53" s="3">
        <v>44</v>
      </c>
      <c r="G53" s="3" t="s">
        <v>19</v>
      </c>
      <c r="H53" s="5" t="s">
        <v>20</v>
      </c>
      <c r="I53" s="5">
        <v>4</v>
      </c>
      <c r="J53" s="5">
        <v>1</v>
      </c>
      <c r="K53" s="5">
        <v>1</v>
      </c>
      <c r="L53" s="11">
        <f t="shared" si="0"/>
        <v>2</v>
      </c>
      <c r="M53" s="11">
        <f t="shared" si="1"/>
        <v>2</v>
      </c>
      <c r="N53" s="12">
        <v>20000</v>
      </c>
      <c r="O53" s="12">
        <v>35000</v>
      </c>
      <c r="P53" s="13">
        <f t="shared" si="2"/>
        <v>15000</v>
      </c>
      <c r="Q53" s="14">
        <f t="shared" si="3"/>
        <v>0.75</v>
      </c>
    </row>
    <row r="54" spans="2:17">
      <c r="B54" s="3">
        <v>52</v>
      </c>
      <c r="C54" s="3" t="s">
        <v>117</v>
      </c>
      <c r="D54" s="7"/>
      <c r="E54" s="3" t="s">
        <v>118</v>
      </c>
      <c r="F54" s="3">
        <v>41</v>
      </c>
      <c r="G54" s="3" t="s">
        <v>19</v>
      </c>
      <c r="H54" s="5" t="s">
        <v>20</v>
      </c>
      <c r="I54" s="5">
        <v>6</v>
      </c>
      <c r="J54" s="5">
        <v>1</v>
      </c>
      <c r="K54" s="5">
        <v>2</v>
      </c>
      <c r="L54" s="11">
        <f t="shared" si="0"/>
        <v>3</v>
      </c>
      <c r="M54" s="11">
        <f t="shared" si="1"/>
        <v>3</v>
      </c>
      <c r="N54" s="12">
        <v>20000</v>
      </c>
      <c r="O54" s="12">
        <v>35000</v>
      </c>
      <c r="P54" s="13">
        <f t="shared" si="2"/>
        <v>15000</v>
      </c>
      <c r="Q54" s="14">
        <f t="shared" si="3"/>
        <v>0.75</v>
      </c>
    </row>
    <row r="55" spans="2:17">
      <c r="B55" s="3">
        <v>53</v>
      </c>
      <c r="C55" s="3" t="s">
        <v>119</v>
      </c>
      <c r="D55" s="4" t="s">
        <v>120</v>
      </c>
      <c r="E55" s="3" t="s">
        <v>121</v>
      </c>
      <c r="F55" s="3">
        <v>40</v>
      </c>
      <c r="G55" s="3" t="s">
        <v>19</v>
      </c>
      <c r="H55" s="5" t="s">
        <v>20</v>
      </c>
      <c r="I55" s="5">
        <v>4</v>
      </c>
      <c r="J55" s="5">
        <v>3</v>
      </c>
      <c r="K55" s="5">
        <v>1</v>
      </c>
      <c r="L55" s="11">
        <f t="shared" si="0"/>
        <v>4</v>
      </c>
      <c r="M55" s="11">
        <f t="shared" si="1"/>
        <v>0</v>
      </c>
      <c r="N55" s="12">
        <v>20000</v>
      </c>
      <c r="O55" s="12">
        <v>35000</v>
      </c>
      <c r="P55" s="13">
        <f t="shared" si="2"/>
        <v>15000</v>
      </c>
      <c r="Q55" s="14">
        <f t="shared" si="3"/>
        <v>0.75</v>
      </c>
    </row>
    <row r="56" spans="2:17">
      <c r="B56" s="3">
        <v>54</v>
      </c>
      <c r="C56" s="3" t="s">
        <v>122</v>
      </c>
      <c r="D56" s="6"/>
      <c r="E56" s="3" t="s">
        <v>112</v>
      </c>
      <c r="F56" s="3">
        <v>42</v>
      </c>
      <c r="G56" s="3" t="s">
        <v>69</v>
      </c>
      <c r="H56" s="5" t="s">
        <v>20</v>
      </c>
      <c r="I56" s="5">
        <v>6</v>
      </c>
      <c r="J56" s="5">
        <v>5</v>
      </c>
      <c r="K56" s="5">
        <v>1</v>
      </c>
      <c r="L56" s="11">
        <f t="shared" si="0"/>
        <v>6</v>
      </c>
      <c r="M56" s="11">
        <f t="shared" si="1"/>
        <v>0</v>
      </c>
      <c r="N56" s="12">
        <v>20000</v>
      </c>
      <c r="O56" s="12">
        <v>35000</v>
      </c>
      <c r="P56" s="13">
        <f t="shared" si="2"/>
        <v>15000</v>
      </c>
      <c r="Q56" s="14">
        <f t="shared" si="3"/>
        <v>0.75</v>
      </c>
    </row>
    <row r="57" spans="2:17">
      <c r="B57" s="3">
        <v>55</v>
      </c>
      <c r="C57" s="3" t="s">
        <v>123</v>
      </c>
      <c r="D57" s="7"/>
      <c r="E57" s="3" t="s">
        <v>114</v>
      </c>
      <c r="F57" s="3">
        <v>39</v>
      </c>
      <c r="G57" s="3" t="s">
        <v>29</v>
      </c>
      <c r="H57" s="5" t="s">
        <v>20</v>
      </c>
      <c r="I57" s="5">
        <v>4</v>
      </c>
      <c r="J57" s="5">
        <v>1</v>
      </c>
      <c r="K57" s="5">
        <v>1</v>
      </c>
      <c r="L57" s="11">
        <f t="shared" si="0"/>
        <v>2</v>
      </c>
      <c r="M57" s="11">
        <f t="shared" si="1"/>
        <v>2</v>
      </c>
      <c r="N57" s="12">
        <v>20000</v>
      </c>
      <c r="O57" s="12">
        <v>35000</v>
      </c>
      <c r="P57" s="13">
        <f t="shared" si="2"/>
        <v>15000</v>
      </c>
      <c r="Q57" s="14">
        <f t="shared" si="3"/>
        <v>0.75</v>
      </c>
    </row>
  </sheetData>
  <mergeCells count="13">
    <mergeCell ref="D3:D8"/>
    <mergeCell ref="D9:D12"/>
    <mergeCell ref="D13:D14"/>
    <mergeCell ref="D15:D21"/>
    <mergeCell ref="D22:D24"/>
    <mergeCell ref="D25:D30"/>
    <mergeCell ref="D31:D33"/>
    <mergeCell ref="D34:D35"/>
    <mergeCell ref="D36:D40"/>
    <mergeCell ref="D41:D43"/>
    <mergeCell ref="D44:D50"/>
    <mergeCell ref="D51:D54"/>
    <mergeCell ref="D55:D5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Spreadsheet WPS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Lembar1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Baani Sutawan</dc:creator>
  <cp:lastModifiedBy>Bani Sutawan</cp:lastModifiedBy>
  <dcterms:created xsi:type="dcterms:W3CDTF">2026-01-02T01:23:34Z</dcterms:created>
  <dcterms:modified xsi:type="dcterms:W3CDTF">2026-01-02T01:27:48Z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85329D9E052644DDABF939F66810D96E_11</vt:lpwstr>
  </property>
  <property fmtid="{D5CDD505-2E9C-101B-9397-08002B2CF9AE}" pid="3" name="KSOProductBuildVer">
    <vt:lpwstr>1057-12.2.0.23196</vt:lpwstr>
  </property>
</Properties>
</file>